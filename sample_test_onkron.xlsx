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5FF755F5-EBA4-4227-9E86-705678AF7F1E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47" i="1"/>
  <c r="A30" i="1"/>
  <c r="A54" i="1"/>
  <c r="A48" i="1"/>
  <c r="A34" i="1"/>
  <c r="A35" i="1"/>
  <c r="A15" i="1"/>
  <c r="A25" i="1"/>
  <c r="A33" i="1"/>
</calcChain>
</file>

<file path=xl/sharedStrings.xml><?xml version="1.0" encoding="utf-8"?>
<sst xmlns="http://schemas.openxmlformats.org/spreadsheetml/2006/main" count="1450" uniqueCount="543">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</sst>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1">
    <sortCondition ref="C1:C61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12" activePane="bottomLeft" state="frozen"/>
      <selection pane="bottomLeft" activeCell="C25" sqref="C25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532</v>
      </c>
      <c r="B3" t="s">
        <v>109</v>
      </c>
      <c r="C3" t="s">
        <v>531</v>
      </c>
      <c r="E3" t="s">
        <v>521</v>
      </c>
      <c r="F3" t="s">
        <v>23</v>
      </c>
      <c r="G3">
        <v>75</v>
      </c>
      <c r="H3" t="s">
        <v>14</v>
      </c>
      <c r="I3">
        <v>65</v>
      </c>
      <c r="J3" t="s">
        <v>119</v>
      </c>
      <c r="K3" t="s">
        <v>533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14</v>
      </c>
      <c r="I4">
        <v>90</v>
      </c>
      <c r="J4" t="s">
        <v>41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526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519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119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521</v>
      </c>
      <c r="F9" t="s">
        <v>13</v>
      </c>
      <c r="G9">
        <v>55</v>
      </c>
      <c r="H9" t="s">
        <v>526</v>
      </c>
      <c r="I9">
        <v>30</v>
      </c>
      <c r="J9" t="s">
        <v>500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521</v>
      </c>
      <c r="F10" t="s">
        <v>13</v>
      </c>
      <c r="G10">
        <v>65</v>
      </c>
      <c r="H10" t="s">
        <v>20</v>
      </c>
      <c r="I10">
        <v>35</v>
      </c>
      <c r="J10" t="s">
        <v>15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521</v>
      </c>
      <c r="F12" t="s">
        <v>13</v>
      </c>
      <c r="G12">
        <v>55</v>
      </c>
      <c r="H12" t="s">
        <v>526</v>
      </c>
      <c r="I12">
        <v>35</v>
      </c>
      <c r="J12" t="s">
        <v>15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521</v>
      </c>
      <c r="F13" t="s">
        <v>58</v>
      </c>
      <c r="G13" s="4">
        <v>55</v>
      </c>
      <c r="H13" t="s">
        <v>526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537</v>
      </c>
      <c r="E14" t="s">
        <v>521</v>
      </c>
      <c r="F14" t="s">
        <v>58</v>
      </c>
      <c r="G14" s="4">
        <v>55</v>
      </c>
      <c r="H14" t="s">
        <v>526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519</v>
      </c>
      <c r="F15" t="s">
        <v>58</v>
      </c>
      <c r="G15">
        <v>60</v>
      </c>
      <c r="H15" t="s">
        <v>526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521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521</v>
      </c>
      <c r="F18" t="s">
        <v>488</v>
      </c>
      <c r="G18">
        <v>70</v>
      </c>
      <c r="H18" t="s">
        <v>14</v>
      </c>
      <c r="I18">
        <v>40.5</v>
      </c>
      <c r="J18" t="s">
        <v>15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521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15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332</v>
      </c>
      <c r="B21" t="s">
        <v>109</v>
      </c>
      <c r="C21" t="s">
        <v>68</v>
      </c>
      <c r="E21" t="s">
        <v>521</v>
      </c>
      <c r="F21" t="s">
        <v>488</v>
      </c>
      <c r="G21">
        <v>83</v>
      </c>
      <c r="H21" t="s">
        <v>40</v>
      </c>
      <c r="I21">
        <v>65.5</v>
      </c>
      <c r="J21" t="s">
        <v>119</v>
      </c>
      <c r="K21" t="s">
        <v>69</v>
      </c>
      <c r="L21" t="s">
        <v>48</v>
      </c>
      <c r="M21">
        <v>70</v>
      </c>
      <c r="N21" s="1" t="s">
        <v>70</v>
      </c>
    </row>
    <row r="22" spans="1:14" ht="21.75" customHeight="1">
      <c r="A22" t="s">
        <v>333</v>
      </c>
      <c r="B22" t="s">
        <v>109</v>
      </c>
      <c r="C22" t="s">
        <v>71</v>
      </c>
      <c r="E22" t="s">
        <v>521</v>
      </c>
      <c r="F22" t="s">
        <v>58</v>
      </c>
      <c r="G22">
        <v>70</v>
      </c>
      <c r="H22" t="s">
        <v>14</v>
      </c>
      <c r="I22">
        <v>45.5</v>
      </c>
      <c r="J22" t="s">
        <v>15</v>
      </c>
      <c r="K22" t="s">
        <v>32</v>
      </c>
      <c r="L22" t="s">
        <v>33</v>
      </c>
      <c r="M22">
        <v>55.5</v>
      </c>
      <c r="N22" s="1" t="s">
        <v>72</v>
      </c>
    </row>
    <row r="23" spans="1:14" ht="21.75" customHeight="1">
      <c r="A23" t="s">
        <v>334</v>
      </c>
      <c r="B23" t="s">
        <v>109</v>
      </c>
      <c r="C23" t="s">
        <v>73</v>
      </c>
      <c r="E23" t="s">
        <v>521</v>
      </c>
      <c r="F23" t="s">
        <v>58</v>
      </c>
      <c r="G23">
        <v>75</v>
      </c>
      <c r="H23" t="s">
        <v>14</v>
      </c>
      <c r="I23">
        <v>45</v>
      </c>
      <c r="J23" t="s">
        <v>15</v>
      </c>
      <c r="K23" t="s">
        <v>32</v>
      </c>
      <c r="L23" t="s">
        <v>33</v>
      </c>
      <c r="M23">
        <v>50</v>
      </c>
      <c r="N23" s="1" t="s">
        <v>74</v>
      </c>
    </row>
    <row r="24" spans="1:14" ht="21.75" customHeight="1">
      <c r="A24" t="s">
        <v>337</v>
      </c>
      <c r="B24" t="s">
        <v>109</v>
      </c>
      <c r="C24" t="s">
        <v>35</v>
      </c>
      <c r="E24" t="s">
        <v>521</v>
      </c>
      <c r="F24" t="s">
        <v>36</v>
      </c>
      <c r="G24">
        <v>75</v>
      </c>
      <c r="H24" t="s">
        <v>14</v>
      </c>
      <c r="I24">
        <v>65</v>
      </c>
      <c r="J24" t="s">
        <v>119</v>
      </c>
      <c r="K24" t="s">
        <v>37</v>
      </c>
      <c r="L24" t="s">
        <v>17</v>
      </c>
      <c r="M24">
        <v>70</v>
      </c>
      <c r="N24" s="1" t="s">
        <v>38</v>
      </c>
    </row>
    <row r="25" spans="1:14" ht="21.75" customHeight="1">
      <c r="A25" t="str">
        <f>"images/"&amp;Таблица1[[#This Row],[sku]]</f>
        <v>images/TS1552E-WO</v>
      </c>
      <c r="B25" t="s">
        <v>109</v>
      </c>
      <c r="C25" t="s">
        <v>542</v>
      </c>
      <c r="E25" t="s">
        <v>521</v>
      </c>
      <c r="F25" t="s">
        <v>36</v>
      </c>
      <c r="G25">
        <v>75</v>
      </c>
      <c r="H25" t="s">
        <v>14</v>
      </c>
      <c r="I25">
        <v>67</v>
      </c>
      <c r="J25" t="s">
        <v>119</v>
      </c>
      <c r="K25" t="s">
        <v>32</v>
      </c>
      <c r="L25" t="s">
        <v>33</v>
      </c>
      <c r="N25" s="1"/>
    </row>
    <row r="26" spans="1:14" ht="21.75" customHeight="1">
      <c r="A26" t="s">
        <v>338</v>
      </c>
      <c r="B26" t="s">
        <v>109</v>
      </c>
      <c r="C26" t="s">
        <v>78</v>
      </c>
      <c r="E26" t="s">
        <v>521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506</v>
      </c>
      <c r="B27" t="s">
        <v>109</v>
      </c>
      <c r="C27" t="s">
        <v>502</v>
      </c>
      <c r="E27" t="s">
        <v>521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521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t="s">
        <v>539</v>
      </c>
      <c r="C29" t="s">
        <v>534</v>
      </c>
      <c r="E29" t="s">
        <v>521</v>
      </c>
      <c r="F29" t="s">
        <v>58</v>
      </c>
      <c r="G29">
        <v>75</v>
      </c>
      <c r="H29" t="s">
        <v>14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522</v>
      </c>
      <c r="E30" t="s">
        <v>521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492</v>
      </c>
      <c r="B31" t="s">
        <v>109</v>
      </c>
      <c r="C31" t="s">
        <v>490</v>
      </c>
      <c r="E31" t="s">
        <v>521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s="2" t="s">
        <v>493</v>
      </c>
      <c r="B32" t="s">
        <v>109</v>
      </c>
      <c r="C32" t="s">
        <v>489</v>
      </c>
      <c r="E32" t="s">
        <v>521</v>
      </c>
      <c r="F32" t="s">
        <v>23</v>
      </c>
      <c r="G32">
        <v>75</v>
      </c>
      <c r="H32" t="s">
        <v>14</v>
      </c>
      <c r="I32">
        <v>60</v>
      </c>
      <c r="J32" t="s">
        <v>15</v>
      </c>
      <c r="K32" t="s">
        <v>491</v>
      </c>
      <c r="L32" t="s">
        <v>32</v>
      </c>
      <c r="N32" s="1"/>
    </row>
    <row r="33" spans="1:14" ht="21.75" customHeight="1">
      <c r="A33" t="str">
        <f>"images/"&amp;Таблица1[[#This Row],[sku]]</f>
        <v>images/TS1590-B</v>
      </c>
      <c r="B33" t="s">
        <v>109</v>
      </c>
      <c r="C33" t="s">
        <v>513</v>
      </c>
      <c r="E33" t="s">
        <v>521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images/TS1590-C</v>
      </c>
      <c r="B34" t="s">
        <v>109</v>
      </c>
      <c r="C34" t="s">
        <v>514</v>
      </c>
      <c r="E34" t="s">
        <v>521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tr">
        <f>"images/"&amp;Таблица1[[#This Row],[sku]]</f>
        <v>images/TS1590-G</v>
      </c>
      <c r="B35" t="s">
        <v>109</v>
      </c>
      <c r="C35" t="s">
        <v>515</v>
      </c>
      <c r="E35" t="s">
        <v>521</v>
      </c>
      <c r="F35" t="s">
        <v>23</v>
      </c>
      <c r="G35">
        <v>90</v>
      </c>
      <c r="H35" t="s">
        <v>40</v>
      </c>
      <c r="I35">
        <v>100</v>
      </c>
      <c r="J35" t="s">
        <v>41</v>
      </c>
      <c r="K35" t="s">
        <v>81</v>
      </c>
      <c r="L35" t="s">
        <v>43</v>
      </c>
      <c r="N35" s="1"/>
    </row>
    <row r="36" spans="1:14" ht="21.75" customHeight="1">
      <c r="A36" t="s">
        <v>339</v>
      </c>
      <c r="B36" t="s">
        <v>109</v>
      </c>
      <c r="C36" t="s">
        <v>80</v>
      </c>
      <c r="E36" t="s">
        <v>521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508</v>
      </c>
      <c r="B37" t="s">
        <v>109</v>
      </c>
      <c r="C37" t="s">
        <v>510</v>
      </c>
      <c r="E37" t="s">
        <v>521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521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540</v>
      </c>
      <c r="B39" t="s">
        <v>109</v>
      </c>
      <c r="C39" t="s">
        <v>536</v>
      </c>
      <c r="E39" t="s">
        <v>521</v>
      </c>
      <c r="F39" t="s">
        <v>58</v>
      </c>
      <c r="G39">
        <v>90</v>
      </c>
      <c r="H39" t="s">
        <v>40</v>
      </c>
      <c r="I39">
        <v>75</v>
      </c>
      <c r="J39" t="s">
        <v>41</v>
      </c>
      <c r="K39" t="s">
        <v>81</v>
      </c>
      <c r="L39" t="s">
        <v>43</v>
      </c>
      <c r="M39">
        <v>90</v>
      </c>
      <c r="N39" s="1"/>
    </row>
    <row r="40" spans="1:14" ht="21.75" customHeight="1">
      <c r="A40" t="s">
        <v>340</v>
      </c>
      <c r="B40" t="s">
        <v>109</v>
      </c>
      <c r="C40" t="s">
        <v>83</v>
      </c>
      <c r="E40" t="s">
        <v>521</v>
      </c>
      <c r="F40" t="s">
        <v>58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84</v>
      </c>
    </row>
    <row r="41" spans="1:14" ht="21.75" customHeight="1">
      <c r="A41" t="s">
        <v>342</v>
      </c>
      <c r="B41" t="s">
        <v>109</v>
      </c>
      <c r="C41" t="s">
        <v>86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87</v>
      </c>
    </row>
    <row r="42" spans="1:14" ht="21.75" customHeight="1">
      <c r="A42" t="s">
        <v>343</v>
      </c>
      <c r="B42" t="s">
        <v>109</v>
      </c>
      <c r="C42" t="s">
        <v>88</v>
      </c>
      <c r="E42" t="s">
        <v>519</v>
      </c>
      <c r="F42" t="s">
        <v>520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89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">
        <v>345</v>
      </c>
      <c r="B44" t="s">
        <v>109</v>
      </c>
      <c r="C44" t="s">
        <v>90</v>
      </c>
      <c r="E44" t="s">
        <v>521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">
        <v>346</v>
      </c>
      <c r="B45" t="s">
        <v>109</v>
      </c>
      <c r="C45" t="s">
        <v>92</v>
      </c>
      <c r="E45" t="s">
        <v>521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27.75" customHeight="1">
      <c r="A46" t="s">
        <v>347</v>
      </c>
      <c r="B46" t="s">
        <v>109</v>
      </c>
      <c r="C46" t="s">
        <v>45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32.25" customHeight="1">
      <c r="A47" t="str">
        <f>"images/"&amp;Таблица1[[#This Row],[sku]]</f>
        <v>images/TS1991E-W</v>
      </c>
      <c r="B47" t="s">
        <v>109</v>
      </c>
      <c r="C47" t="s">
        <v>535</v>
      </c>
      <c r="E47" t="s">
        <v>521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0" customHeight="1">
      <c r="A48" t="str">
        <f>"images/"&amp;Таблица1[[#This Row],[sku]]</f>
        <v>images/TS1991-W</v>
      </c>
      <c r="B48" t="s">
        <v>109</v>
      </c>
      <c r="C48" t="s">
        <v>517</v>
      </c>
      <c r="E48" t="s">
        <v>521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521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0" customHeight="1">
      <c r="A50" t="s">
        <v>349</v>
      </c>
      <c r="B50" t="s">
        <v>109</v>
      </c>
      <c r="C50" t="s">
        <v>96</v>
      </c>
      <c r="E50" t="s">
        <v>521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4.5" customHeight="1">
      <c r="A51" t="s">
        <v>504</v>
      </c>
      <c r="B51" t="s">
        <v>109</v>
      </c>
      <c r="C51" t="s">
        <v>503</v>
      </c>
      <c r="E51" t="s">
        <v>521</v>
      </c>
      <c r="F51" t="s">
        <v>54</v>
      </c>
      <c r="G51">
        <v>75</v>
      </c>
      <c r="H51" t="s">
        <v>14</v>
      </c>
      <c r="I51">
        <v>40</v>
      </c>
      <c r="J51" t="s">
        <v>15</v>
      </c>
      <c r="K51" t="s">
        <v>32</v>
      </c>
      <c r="L51" t="s">
        <v>33</v>
      </c>
      <c r="N51" s="1"/>
    </row>
    <row r="52" spans="1:14" ht="34.5" customHeight="1">
      <c r="A52" t="s">
        <v>528</v>
      </c>
      <c r="B52" t="s">
        <v>109</v>
      </c>
      <c r="C52" t="s">
        <v>527</v>
      </c>
      <c r="E52" t="s">
        <v>521</v>
      </c>
      <c r="F52" t="s">
        <v>23</v>
      </c>
      <c r="G52">
        <v>75</v>
      </c>
      <c r="H52" t="s">
        <v>14</v>
      </c>
      <c r="I52">
        <v>60</v>
      </c>
      <c r="J52" t="s">
        <v>15</v>
      </c>
      <c r="K52" t="s">
        <v>32</v>
      </c>
      <c r="L52" t="s">
        <v>32</v>
      </c>
      <c r="N52" s="1"/>
    </row>
    <row r="53" spans="1:14" ht="32.25" customHeight="1">
      <c r="A53" t="s">
        <v>351</v>
      </c>
      <c r="B53" t="s">
        <v>109</v>
      </c>
      <c r="C53" t="s">
        <v>101</v>
      </c>
      <c r="E53" t="s">
        <v>521</v>
      </c>
      <c r="F53" t="s">
        <v>54</v>
      </c>
      <c r="G53">
        <v>80</v>
      </c>
      <c r="H53" t="s">
        <v>40</v>
      </c>
      <c r="I53">
        <v>45.5</v>
      </c>
      <c r="J53" t="s">
        <v>15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523</v>
      </c>
      <c r="E54" t="s">
        <v>519</v>
      </c>
      <c r="F54" t="s">
        <v>520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525</v>
      </c>
      <c r="B55" t="s">
        <v>109</v>
      </c>
      <c r="C55" t="s">
        <v>524</v>
      </c>
      <c r="E55" t="s">
        <v>519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521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530</v>
      </c>
      <c r="B57" t="s">
        <v>109</v>
      </c>
      <c r="C57" t="s">
        <v>529</v>
      </c>
      <c r="E57" t="s">
        <v>521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521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521</v>
      </c>
      <c r="F59" t="s">
        <v>23</v>
      </c>
      <c r="G59">
        <v>60</v>
      </c>
      <c r="H59" t="s">
        <v>526</v>
      </c>
      <c r="I59">
        <v>41</v>
      </c>
      <c r="J59" t="s">
        <v>15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521</v>
      </c>
      <c r="F60" t="s">
        <v>23</v>
      </c>
      <c r="G60">
        <v>60</v>
      </c>
      <c r="H60" t="s">
        <v>526</v>
      </c>
      <c r="I60">
        <v>41</v>
      </c>
      <c r="J60" t="s">
        <v>15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521</v>
      </c>
      <c r="F61" t="s">
        <v>23</v>
      </c>
      <c r="G61">
        <v>65</v>
      </c>
      <c r="H61" t="s">
        <v>20</v>
      </c>
      <c r="I61">
        <v>30</v>
      </c>
      <c r="J61" t="s">
        <v>500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541</v>
      </c>
      <c r="B62" t="s">
        <v>109</v>
      </c>
      <c r="E62" t="s">
        <v>519</v>
      </c>
      <c r="F62" t="s">
        <v>538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2026-08-28T10:58:41Z</dcterms:modified>
</cp:coreProperties>
</file>